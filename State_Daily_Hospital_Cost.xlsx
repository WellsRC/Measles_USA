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263e6c96784ab765/Desktop/Common_Health/Measles_USA/"/>
    </mc:Choice>
  </mc:AlternateContent>
  <xr:revisionPtr revIDLastSave="26" documentId="8_{D55A2A53-69CB-4040-898B-716DB1C27E1D}" xr6:coauthVersionLast="47" xr6:coauthVersionMax="47" xr10:uidLastSave="{CE76D58F-5CBE-404D-8EC5-E28842D77163}"/>
  <bookViews>
    <workbookView xWindow="-120" yWindow="-120" windowWidth="29040" windowHeight="15720" xr2:uid="{47D8A109-0E8E-421B-9B7F-26DF7947B33F}"/>
  </bookViews>
  <sheets>
    <sheet name="Cost" sheetId="1" r:id="rId1"/>
    <sheet name="Sourc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2" i="1"/>
</calcChain>
</file>

<file path=xl/sharedStrings.xml><?xml version="1.0" encoding="utf-8"?>
<sst xmlns="http://schemas.openxmlformats.org/spreadsheetml/2006/main" count="65" uniqueCount="65">
  <si>
    <t>State</t>
  </si>
  <si>
    <t>Average Cost per Inpatient Day</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</si>
  <si>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</si>
  <si>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</si>
  <si>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</si>
  <si>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</si>
  <si>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</si>
  <si>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</si>
  <si>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</si>
  <si>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</si>
  <si>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</si>
  <si>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</si>
  <si>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</si>
  <si>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</si>
  <si>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</si>
  <si>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</si>
  <si>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</si>
  <si>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</si>
  <si>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</si>
  <si>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</si>
  <si>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</si>
  <si>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</si>
  <si>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</si>
  <si>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</si>
  <si>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</si>
  <si>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</si>
  <si>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</si>
  <si>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</si>
  <si>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</si>
  <si>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</si>
  <si>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</si>
  <si>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</si>
  <si>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</si>
  <si>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</si>
  <si>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</si>
  <si>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</si>
  <si>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</si>
  <si>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</si>
  <si>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</si>
  <si>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</si>
  <si>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</si>
  <si>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</si>
  <si>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</si>
  <si>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</si>
  <si>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</si>
  <si>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</si>
  <si>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</si>
  <si>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</si>
  <si>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</si>
  <si>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</si>
  <si>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</si>
  <si>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</si>
  <si>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</si>
  <si>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</si>
  <si>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Cost_2025</t>
  </si>
  <si>
    <t>Notes</t>
  </si>
  <si>
    <t xml:space="preserve">Includes all operating and non-operating expenses for registered US community hospitals, defined as nonfederal short-term general and other special hospitals whose facilities and services are available to the public. </t>
  </si>
  <si>
    <t>Expenses per adjusted inpatient day include expenses incurred for both inpatient and outpatient care; inpatient days are adjusted higher to reflect an estimate of the volume of outpatient services. It is important to note that these figures are only an estimate of expenses incurred by the hospital to provide a day of inpatient care and are not a substitute for either actual charges or reimbursement for care provided.</t>
  </si>
  <si>
    <t>Beginning in 2017, the AHA began to use a broader definition for a hospital. An institution is a hospital if it is licensed as a general or specialty hospital by the appropriate state agency and accredited by one of the following organizations: The Joint Commission Healthcare Facilities Accreditation Program (HFAP), DNV Health Accreditation, Center for Improvement in Healthcare Quality Accreditation, or Medicare certified as a provider of acute services under Title 18 of the Social Security Act. As a result of the application of the new, broader hospital definition, the number of community hospitals increased by approximately 400 in 2017.</t>
  </si>
  <si>
    <t>Sources</t>
  </si>
  <si>
    <t>1999 - 2023 AHA Annual Survey, Copyright 2023 by Health Forum, LLC, an affiliate of the American Hospital Association. Special data request, 2024. Available at [https://www.ahadata.com/aha-annual-survey-database](https://www.ahadata.com/aha-annual-survey-database).</t>
  </si>
  <si>
    <t>Definitions</t>
  </si>
  <si>
    <t>*Community Hospitals*: All nonfederal, short-term general, and specialty hospitals whose facilities and services are available to the public.</t>
  </si>
  <si>
    <t>Timeframe: 2023</t>
  </si>
  <si>
    <t>Title: Hospital Expenses per Adjusted Inpatient Day | KFF State Health 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</si>
</sst>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A547-951E-43F8-BB7B-CF9D26C0E579}">
  <dimension ref="A1:E53"/>
  <sheetViews>
    <sheetView tabSelected="1" workbookViewId="0">
      <selection activeCell="E2" sqref="E2"/>
    </sheetView>
  </sheetViews>
  <sheetFormatPr defaultRowHeight="15" x14ac:dyDescent="0.25"/>
  <cols>
    <col min="1" max="1" width="18.7109375" bestFit="1" customWidth="1"/>
    <col min="2" max="2" width="28" style="1" bestFit="1" customWidth="1"/>
  </cols>
  <sheetData>
    <row r="1" spans="1:5" x14ac:dyDescent="0.25">
      <c r="A1" t="s">
        <v>0</v>
      </c>
      <c r="B1" s="1" t="s">
        <v>1</v>
      </c>
      <c r="C1" s="1" t="s">
        <v>54</v>
      </c>
    </row>
    <row r="2" spans="1:5" x14ac:dyDescent="0.25">
      <c r="A2" t="s">
        <v>2</v>
      </c>
      <c r="B2" s="1">
        <v>3132</v>
      </c>
      <c r="C2">
        <f>ROUND(1.055020226*B2,2)</f>
        <v>3304.32</v>
      </c>
      <c r="E2" s="1"/>
    </row>
    <row r="3" spans="1:5" x14ac:dyDescent="0.25">
      <c r="A3" t="s">
        <v>3</v>
      </c>
      <c r="B3" s="1">
        <v>1939</v>
      </c>
      <c r="C3">
        <f t="shared" ref="C3:C53" si="0">ROUND(1.055020226*B3,2)</f>
        <v>2045.68</v>
      </c>
    </row>
    <row r="4" spans="1:5" x14ac:dyDescent="0.25">
      <c r="A4" t="s">
        <v>4</v>
      </c>
      <c r="B4" s="1">
        <v>2855</v>
      </c>
      <c r="C4">
        <f t="shared" si="0"/>
        <v>3012.08</v>
      </c>
    </row>
    <row r="5" spans="1:5" x14ac:dyDescent="0.25">
      <c r="A5" t="s">
        <v>5</v>
      </c>
      <c r="B5" s="1">
        <v>3332</v>
      </c>
      <c r="C5">
        <f t="shared" si="0"/>
        <v>3515.33</v>
      </c>
    </row>
    <row r="6" spans="1:5" x14ac:dyDescent="0.25">
      <c r="A6" t="s">
        <v>6</v>
      </c>
      <c r="B6" s="1">
        <v>2306</v>
      </c>
      <c r="C6">
        <f t="shared" si="0"/>
        <v>2432.88</v>
      </c>
    </row>
    <row r="7" spans="1:5" x14ac:dyDescent="0.25">
      <c r="A7" t="s">
        <v>7</v>
      </c>
      <c r="B7" s="1">
        <v>4471</v>
      </c>
      <c r="C7">
        <f t="shared" si="0"/>
        <v>4717</v>
      </c>
    </row>
    <row r="8" spans="1:5" x14ac:dyDescent="0.25">
      <c r="A8" t="s">
        <v>8</v>
      </c>
      <c r="B8" s="1">
        <v>3644</v>
      </c>
      <c r="C8">
        <f t="shared" si="0"/>
        <v>3844.49</v>
      </c>
    </row>
    <row r="9" spans="1:5" x14ac:dyDescent="0.25">
      <c r="A9" t="s">
        <v>9</v>
      </c>
      <c r="B9" s="1">
        <v>3433</v>
      </c>
      <c r="C9">
        <f t="shared" si="0"/>
        <v>3621.88</v>
      </c>
    </row>
    <row r="10" spans="1:5" x14ac:dyDescent="0.25">
      <c r="A10" t="s">
        <v>10</v>
      </c>
      <c r="B10" s="1">
        <v>3470</v>
      </c>
      <c r="C10">
        <f t="shared" si="0"/>
        <v>3660.92</v>
      </c>
    </row>
    <row r="11" spans="1:5" x14ac:dyDescent="0.25">
      <c r="A11" t="s">
        <v>11</v>
      </c>
      <c r="B11" s="1">
        <v>3862</v>
      </c>
      <c r="C11">
        <f t="shared" si="0"/>
        <v>4074.49</v>
      </c>
    </row>
    <row r="12" spans="1:5" x14ac:dyDescent="0.25">
      <c r="A12" t="s">
        <v>12</v>
      </c>
      <c r="B12" s="1">
        <v>2927</v>
      </c>
      <c r="C12">
        <f t="shared" si="0"/>
        <v>3088.04</v>
      </c>
    </row>
    <row r="13" spans="1:5" x14ac:dyDescent="0.25">
      <c r="A13" t="s">
        <v>13</v>
      </c>
      <c r="B13" s="1">
        <v>2385</v>
      </c>
      <c r="C13">
        <f t="shared" si="0"/>
        <v>2516.2199999999998</v>
      </c>
    </row>
    <row r="14" spans="1:5" x14ac:dyDescent="0.25">
      <c r="A14" t="s">
        <v>14</v>
      </c>
      <c r="B14" s="1">
        <v>3003</v>
      </c>
      <c r="C14">
        <f t="shared" si="0"/>
        <v>3168.23</v>
      </c>
    </row>
    <row r="15" spans="1:5" x14ac:dyDescent="0.25">
      <c r="A15" t="s">
        <v>15</v>
      </c>
      <c r="B15" s="1">
        <v>3949</v>
      </c>
      <c r="C15">
        <f t="shared" si="0"/>
        <v>4166.2700000000004</v>
      </c>
    </row>
    <row r="16" spans="1:5" x14ac:dyDescent="0.25">
      <c r="A16" t="s">
        <v>16</v>
      </c>
      <c r="B16" s="1">
        <v>3116</v>
      </c>
      <c r="C16">
        <f t="shared" si="0"/>
        <v>3287.44</v>
      </c>
    </row>
    <row r="17" spans="1:3" x14ac:dyDescent="0.25">
      <c r="A17" t="s">
        <v>17</v>
      </c>
      <c r="B17" s="1">
        <v>3132</v>
      </c>
      <c r="C17">
        <f t="shared" si="0"/>
        <v>3304.32</v>
      </c>
    </row>
    <row r="18" spans="1:3" x14ac:dyDescent="0.25">
      <c r="A18" t="s">
        <v>18</v>
      </c>
      <c r="B18" s="1">
        <v>1979</v>
      </c>
      <c r="C18">
        <f t="shared" si="0"/>
        <v>2087.89</v>
      </c>
    </row>
    <row r="19" spans="1:3" x14ac:dyDescent="0.25">
      <c r="A19" t="s">
        <v>19</v>
      </c>
      <c r="B19" s="1">
        <v>2511</v>
      </c>
      <c r="C19">
        <f t="shared" si="0"/>
        <v>2649.16</v>
      </c>
    </row>
    <row r="20" spans="1:3" x14ac:dyDescent="0.25">
      <c r="A20" t="s">
        <v>20</v>
      </c>
      <c r="B20" s="1">
        <v>2824</v>
      </c>
      <c r="C20">
        <f t="shared" si="0"/>
        <v>2979.38</v>
      </c>
    </row>
    <row r="21" spans="1:3" x14ac:dyDescent="0.25">
      <c r="A21" t="s">
        <v>21</v>
      </c>
      <c r="B21" s="1">
        <v>2769</v>
      </c>
      <c r="C21">
        <f t="shared" si="0"/>
        <v>2921.35</v>
      </c>
    </row>
    <row r="22" spans="1:3" x14ac:dyDescent="0.25">
      <c r="A22" t="s">
        <v>22</v>
      </c>
      <c r="B22" s="1">
        <v>2985</v>
      </c>
      <c r="C22">
        <f t="shared" si="0"/>
        <v>3149.24</v>
      </c>
    </row>
    <row r="23" spans="1:3" x14ac:dyDescent="0.25">
      <c r="A23" t="s">
        <v>23</v>
      </c>
      <c r="B23" s="1">
        <v>3688</v>
      </c>
      <c r="C23">
        <f t="shared" si="0"/>
        <v>3890.91</v>
      </c>
    </row>
    <row r="24" spans="1:3" x14ac:dyDescent="0.25">
      <c r="A24" t="s">
        <v>24</v>
      </c>
      <c r="B24" s="1">
        <v>3645</v>
      </c>
      <c r="C24">
        <f t="shared" si="0"/>
        <v>3845.55</v>
      </c>
    </row>
    <row r="25" spans="1:3" x14ac:dyDescent="0.25">
      <c r="A25" t="s">
        <v>25</v>
      </c>
      <c r="B25" s="1">
        <v>2595</v>
      </c>
      <c r="C25">
        <f t="shared" si="0"/>
        <v>2737.78</v>
      </c>
    </row>
    <row r="26" spans="1:3" x14ac:dyDescent="0.25">
      <c r="A26" t="s">
        <v>26</v>
      </c>
      <c r="B26" s="1">
        <v>2884</v>
      </c>
      <c r="C26">
        <f t="shared" si="0"/>
        <v>3042.68</v>
      </c>
    </row>
    <row r="27" spans="1:3" x14ac:dyDescent="0.25">
      <c r="A27" t="s">
        <v>27</v>
      </c>
      <c r="B27" s="1">
        <v>1032</v>
      </c>
      <c r="C27">
        <f t="shared" si="0"/>
        <v>1088.78</v>
      </c>
    </row>
    <row r="28" spans="1:3" x14ac:dyDescent="0.25">
      <c r="A28" t="s">
        <v>28</v>
      </c>
      <c r="B28" s="1">
        <v>2803</v>
      </c>
      <c r="C28">
        <f t="shared" si="0"/>
        <v>2957.22</v>
      </c>
    </row>
    <row r="29" spans="1:3" x14ac:dyDescent="0.25">
      <c r="A29" t="s">
        <v>29</v>
      </c>
      <c r="B29" s="1">
        <v>2183</v>
      </c>
      <c r="C29">
        <f t="shared" si="0"/>
        <v>2303.11</v>
      </c>
    </row>
    <row r="30" spans="1:3" x14ac:dyDescent="0.25">
      <c r="A30" t="s">
        <v>30</v>
      </c>
      <c r="B30" s="1">
        <v>2735</v>
      </c>
      <c r="C30">
        <f t="shared" si="0"/>
        <v>2885.48</v>
      </c>
    </row>
    <row r="31" spans="1:3" x14ac:dyDescent="0.25">
      <c r="A31" t="s">
        <v>31</v>
      </c>
      <c r="B31" s="1">
        <v>2309</v>
      </c>
      <c r="C31">
        <f t="shared" si="0"/>
        <v>2436.04</v>
      </c>
    </row>
    <row r="32" spans="1:3" x14ac:dyDescent="0.25">
      <c r="A32" t="s">
        <v>32</v>
      </c>
      <c r="B32" s="1">
        <v>3228</v>
      </c>
      <c r="C32">
        <f t="shared" si="0"/>
        <v>3405.61</v>
      </c>
    </row>
    <row r="33" spans="1:3" x14ac:dyDescent="0.25">
      <c r="A33" t="s">
        <v>33</v>
      </c>
      <c r="B33" s="1">
        <v>3496</v>
      </c>
      <c r="C33">
        <f t="shared" si="0"/>
        <v>3688.35</v>
      </c>
    </row>
    <row r="34" spans="1:3" x14ac:dyDescent="0.25">
      <c r="A34" t="s">
        <v>34</v>
      </c>
      <c r="B34" s="1">
        <v>3414</v>
      </c>
      <c r="C34">
        <f t="shared" si="0"/>
        <v>3601.84</v>
      </c>
    </row>
    <row r="35" spans="1:3" x14ac:dyDescent="0.25">
      <c r="A35" t="s">
        <v>35</v>
      </c>
      <c r="B35" s="1">
        <v>3840</v>
      </c>
      <c r="C35">
        <f t="shared" si="0"/>
        <v>4051.28</v>
      </c>
    </row>
    <row r="36" spans="1:3" x14ac:dyDescent="0.25">
      <c r="A36" t="s">
        <v>36</v>
      </c>
      <c r="B36" s="1">
        <v>2881</v>
      </c>
      <c r="C36">
        <f t="shared" si="0"/>
        <v>3039.51</v>
      </c>
    </row>
    <row r="37" spans="1:3" x14ac:dyDescent="0.25">
      <c r="A37" t="s">
        <v>37</v>
      </c>
      <c r="B37" s="1">
        <v>2791</v>
      </c>
      <c r="C37">
        <f t="shared" si="0"/>
        <v>2944.56</v>
      </c>
    </row>
    <row r="38" spans="1:3" x14ac:dyDescent="0.25">
      <c r="A38" t="s">
        <v>38</v>
      </c>
      <c r="B38" s="1">
        <v>3569</v>
      </c>
      <c r="C38">
        <f t="shared" si="0"/>
        <v>3765.37</v>
      </c>
    </row>
    <row r="39" spans="1:3" x14ac:dyDescent="0.25">
      <c r="A39" t="s">
        <v>39</v>
      </c>
      <c r="B39" s="1">
        <v>2391</v>
      </c>
      <c r="C39">
        <f t="shared" si="0"/>
        <v>2522.5500000000002</v>
      </c>
    </row>
    <row r="40" spans="1:3" x14ac:dyDescent="0.25">
      <c r="A40" t="s">
        <v>40</v>
      </c>
      <c r="B40" s="1">
        <v>4178</v>
      </c>
      <c r="C40">
        <f t="shared" si="0"/>
        <v>4407.87</v>
      </c>
    </row>
    <row r="41" spans="1:3" x14ac:dyDescent="0.25">
      <c r="A41" t="s">
        <v>41</v>
      </c>
      <c r="B41" s="1">
        <v>3081</v>
      </c>
      <c r="C41">
        <f t="shared" si="0"/>
        <v>3250.52</v>
      </c>
    </row>
    <row r="42" spans="1:3" x14ac:dyDescent="0.25">
      <c r="A42" t="s">
        <v>42</v>
      </c>
      <c r="B42" s="1">
        <v>3206</v>
      </c>
      <c r="C42">
        <f t="shared" si="0"/>
        <v>3382.39</v>
      </c>
    </row>
    <row r="43" spans="1:3" x14ac:dyDescent="0.25">
      <c r="A43" t="s">
        <v>43</v>
      </c>
      <c r="B43" s="1">
        <v>2520</v>
      </c>
      <c r="C43">
        <f t="shared" si="0"/>
        <v>2658.65</v>
      </c>
    </row>
    <row r="44" spans="1:3" x14ac:dyDescent="0.25">
      <c r="A44" t="s">
        <v>44</v>
      </c>
      <c r="B44" s="1">
        <v>1747</v>
      </c>
      <c r="C44">
        <f t="shared" si="0"/>
        <v>1843.12</v>
      </c>
    </row>
    <row r="45" spans="1:3" x14ac:dyDescent="0.25">
      <c r="A45" t="s">
        <v>45</v>
      </c>
      <c r="B45" s="1">
        <v>2808</v>
      </c>
      <c r="C45">
        <f t="shared" si="0"/>
        <v>2962.5</v>
      </c>
    </row>
    <row r="46" spans="1:3" x14ac:dyDescent="0.25">
      <c r="A46" t="s">
        <v>46</v>
      </c>
      <c r="B46" s="1">
        <v>3183</v>
      </c>
      <c r="C46">
        <f t="shared" si="0"/>
        <v>3358.13</v>
      </c>
    </row>
    <row r="47" spans="1:3" x14ac:dyDescent="0.25">
      <c r="A47" t="s">
        <v>47</v>
      </c>
      <c r="B47" s="1">
        <v>3996</v>
      </c>
      <c r="C47">
        <f t="shared" si="0"/>
        <v>4215.8599999999997</v>
      </c>
    </row>
    <row r="48" spans="1:3" x14ac:dyDescent="0.25">
      <c r="A48" t="s">
        <v>48</v>
      </c>
      <c r="B48" s="1">
        <v>2935</v>
      </c>
      <c r="C48">
        <f t="shared" si="0"/>
        <v>3096.48</v>
      </c>
    </row>
    <row r="49" spans="1:3" x14ac:dyDescent="0.25">
      <c r="A49" t="s">
        <v>49</v>
      </c>
      <c r="B49" s="1">
        <v>3087</v>
      </c>
      <c r="C49">
        <f t="shared" si="0"/>
        <v>3256.85</v>
      </c>
    </row>
    <row r="50" spans="1:3" x14ac:dyDescent="0.25">
      <c r="A50" t="s">
        <v>50</v>
      </c>
      <c r="B50" s="1">
        <v>4076</v>
      </c>
      <c r="C50">
        <f t="shared" si="0"/>
        <v>4300.26</v>
      </c>
    </row>
    <row r="51" spans="1:3" x14ac:dyDescent="0.25">
      <c r="A51" t="s">
        <v>51</v>
      </c>
      <c r="B51" s="1">
        <v>2415</v>
      </c>
      <c r="C51">
        <f t="shared" si="0"/>
        <v>2547.87</v>
      </c>
    </row>
    <row r="52" spans="1:3" x14ac:dyDescent="0.25">
      <c r="A52" t="s">
        <v>52</v>
      </c>
      <c r="B52" s="1">
        <v>2868</v>
      </c>
      <c r="C52">
        <f t="shared" si="0"/>
        <v>3025.8</v>
      </c>
    </row>
    <row r="53" spans="1:3" x14ac:dyDescent="0.25">
      <c r="A53" t="s">
        <v>53</v>
      </c>
      <c r="B53" s="1">
        <v>1911</v>
      </c>
      <c r="C53">
        <f t="shared" si="0"/>
        <v>2016.14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22E4A-7F80-4A95-8A9B-97EBEFA07082}">
  <dimension ref="A1:A25"/>
  <sheetViews>
    <sheetView workbookViewId="0"/>
  </sheetViews>
  <sheetFormatPr defaultRowHeight="15" x14ac:dyDescent="0.25"/>
  <sheetData>
    <row r="1" spans="1:1" x14ac:dyDescent="0.25">
      <c r="A1" t="s">
        <v>64</v>
      </c>
    </row>
    <row r="2" spans="1:1" x14ac:dyDescent="0.25">
      <c r="A2" t="s">
        <v>63</v>
      </c>
    </row>
    <row r="15" spans="1:1" x14ac:dyDescent="0.25">
      <c r="A15" t="s">
        <v>55</v>
      </c>
    </row>
    <row r="16" spans="1:1" x14ac:dyDescent="0.25">
      <c r="A16" t="s">
        <v>56</v>
      </c>
    </row>
    <row r="18" spans="1:1" x14ac:dyDescent="0.25">
      <c r="A18" t="s">
        <v>57</v>
      </c>
    </row>
    <row r="19" spans="1:1" x14ac:dyDescent="0.25">
      <c r="A19" t="s">
        <v>58</v>
      </c>
    </row>
    <row r="21" spans="1:1" x14ac:dyDescent="0.25">
      <c r="A21" t="s">
        <v>59</v>
      </c>
    </row>
    <row r="22" spans="1:1" x14ac:dyDescent="0.25">
      <c r="A22" t="s">
        <v>60</v>
      </c>
    </row>
    <row r="24" spans="1:1" x14ac:dyDescent="0.25">
      <c r="A24" t="s">
        <v>61</v>
      </c>
    </row>
    <row r="25" spans="1:1" x14ac:dyDescent="0.25">
      <c r="A2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Cost</vt:lpstr>
      <vt:lpstr>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Wells</dc:creator>
  <cp:lastModifiedBy>Chad Wells</cp:lastModifiedBy>
  <dcterms:created xsi:type="dcterms:W3CDTF">2025-11-07T19:15:30Z</dcterms:created>
  <dcterms:modified xsi:type="dcterms:W3CDTF">2025-11-12T21:37:35Z</dcterms:modified>
</cp:coreProperties>
</file>